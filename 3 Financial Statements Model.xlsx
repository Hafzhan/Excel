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anuzma/Desktop/"/>
    </mc:Choice>
  </mc:AlternateContent>
  <xr:revisionPtr revIDLastSave="0" documentId="13_ncr:1_{89032AC1-CF77-AB4A-8C30-B9E984585325}" xr6:coauthVersionLast="47" xr6:coauthVersionMax="47" xr10:uidLastSave="{00000000-0000-0000-0000-000000000000}"/>
  <bookViews>
    <workbookView xWindow="13460" yWindow="500" windowWidth="15960" windowHeight="16460" firstSheet="1" activeTab="4" xr2:uid="{66A0D9DA-883C-49D2-9DD6-027FB25048C8}"/>
  </bookViews>
  <sheets>
    <sheet name="Introduction" sheetId="1" r:id="rId1"/>
    <sheet name="Income Statement" sheetId="2" r:id="rId2"/>
    <sheet name="Capex and Depreciation Schedule" sheetId="3" r:id="rId3"/>
    <sheet name="Balance Sheet" sheetId="4" r:id="rId4"/>
    <sheet name="Cash Flow Stateme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  <c r="C9" i="5"/>
  <c r="D9" i="5"/>
  <c r="B9" i="5"/>
  <c r="C8" i="5"/>
  <c r="D8" i="5"/>
  <c r="E8" i="5"/>
  <c r="B8" i="5"/>
  <c r="C6" i="4"/>
  <c r="C7" i="5" s="1"/>
  <c r="D7" i="5"/>
  <c r="E7" i="5"/>
  <c r="B7" i="5"/>
  <c r="C21" i="5" l="1"/>
  <c r="D21" i="5"/>
  <c r="E21" i="5"/>
  <c r="B21" i="5"/>
  <c r="C20" i="5"/>
  <c r="D20" i="5"/>
  <c r="E20" i="5"/>
  <c r="B20" i="5"/>
  <c r="C19" i="5"/>
  <c r="D19" i="5"/>
  <c r="E19" i="5"/>
  <c r="B19" i="5"/>
  <c r="C14" i="5" l="1"/>
  <c r="D14" i="5"/>
  <c r="E14" i="5"/>
  <c r="B14" i="5"/>
  <c r="B6" i="5" l="1"/>
  <c r="C6" i="5"/>
  <c r="D6" i="5"/>
  <c r="E6" i="5"/>
  <c r="C3" i="5"/>
  <c r="C10" i="5" s="1"/>
  <c r="C16" i="5" s="1"/>
  <c r="C23" i="5" s="1"/>
  <c r="D5" i="4" s="1"/>
  <c r="D3" i="5"/>
  <c r="D10" i="5" s="1"/>
  <c r="D16" i="5" s="1"/>
  <c r="D23" i="5" s="1"/>
  <c r="E5" i="4" s="1"/>
  <c r="E3" i="5"/>
  <c r="E10" i="5" s="1"/>
  <c r="E16" i="5" s="1"/>
  <c r="E23" i="5" s="1"/>
  <c r="F5" i="4" s="1"/>
  <c r="B3" i="5"/>
  <c r="B10" i="5" s="1"/>
  <c r="B16" i="5" s="1"/>
  <c r="B23" i="5" s="1"/>
  <c r="C5" i="4" s="1"/>
  <c r="C31" i="4"/>
  <c r="D31" i="4"/>
  <c r="E31" i="4"/>
  <c r="F31" i="4"/>
  <c r="C29" i="4"/>
  <c r="D29" i="4"/>
  <c r="E29" i="4"/>
  <c r="F29" i="4"/>
  <c r="D28" i="4"/>
  <c r="E28" i="4" s="1"/>
  <c r="F28" i="4" s="1"/>
  <c r="C28" i="4"/>
  <c r="E27" i="2"/>
  <c r="D27" i="2"/>
  <c r="C27" i="2"/>
  <c r="B27" i="2"/>
  <c r="B29" i="2" s="1"/>
  <c r="C31" i="2"/>
  <c r="D31" i="2"/>
  <c r="E31" i="2"/>
  <c r="B31" i="2"/>
  <c r="E44" i="4" l="1"/>
  <c r="F44" i="4"/>
  <c r="D44" i="4"/>
  <c r="C44" i="4"/>
  <c r="C23" i="4"/>
  <c r="D23" i="4"/>
  <c r="E23" i="4"/>
  <c r="F23" i="4"/>
  <c r="F21" i="4"/>
  <c r="E21" i="4"/>
  <c r="D21" i="4"/>
  <c r="C21" i="4"/>
  <c r="C19" i="4" l="1"/>
  <c r="D19" i="4"/>
  <c r="E19" i="4"/>
  <c r="F19" i="4"/>
  <c r="D18" i="4"/>
  <c r="E18" i="4"/>
  <c r="F18" i="4"/>
  <c r="C18" i="4"/>
  <c r="D17" i="4"/>
  <c r="E17" i="4"/>
  <c r="F17" i="4"/>
  <c r="C17" i="4"/>
  <c r="B11" i="4"/>
  <c r="E13" i="4"/>
  <c r="E33" i="4" s="1"/>
  <c r="C11" i="4"/>
  <c r="D11" i="4"/>
  <c r="E11" i="4"/>
  <c r="F11" i="4"/>
  <c r="D6" i="4"/>
  <c r="E6" i="4"/>
  <c r="E7" i="4" s="1"/>
  <c r="F6" i="4"/>
  <c r="C9" i="4"/>
  <c r="D9" i="4" s="1"/>
  <c r="E9" i="4" s="1"/>
  <c r="F9" i="4" s="1"/>
  <c r="C10" i="4"/>
  <c r="D10" i="4" s="1"/>
  <c r="E10" i="4" s="1"/>
  <c r="F10" i="4" s="1"/>
  <c r="C7" i="4"/>
  <c r="C13" i="4" s="1"/>
  <c r="C33" i="4" s="1"/>
  <c r="D7" i="4"/>
  <c r="D13" i="4" s="1"/>
  <c r="D33" i="4" s="1"/>
  <c r="F7" i="4"/>
  <c r="F13" i="4" s="1"/>
  <c r="F33" i="4" s="1"/>
  <c r="B29" i="4" l="1"/>
  <c r="B19" i="4"/>
  <c r="B23" i="4" s="1"/>
  <c r="B31" i="4" s="1"/>
  <c r="B7" i="4"/>
  <c r="B13" i="4" s="1"/>
  <c r="B33" i="4" l="1"/>
  <c r="C26" i="2" l="1"/>
  <c r="D26" i="2"/>
  <c r="E26" i="2"/>
  <c r="B26" i="2"/>
  <c r="D13" i="3"/>
  <c r="E13" i="3"/>
  <c r="F13" i="3"/>
  <c r="C13" i="3"/>
  <c r="F12" i="3"/>
  <c r="E12" i="3"/>
  <c r="F11" i="3"/>
  <c r="E11" i="3"/>
  <c r="D11" i="3"/>
  <c r="C11" i="3"/>
  <c r="D10" i="3"/>
  <c r="E10" i="3"/>
  <c r="F10" i="3"/>
  <c r="C10" i="3"/>
  <c r="F7" i="3"/>
  <c r="E7" i="3"/>
  <c r="D7" i="3"/>
  <c r="C7" i="3"/>
  <c r="B40" i="2" l="1"/>
  <c r="C6" i="2" l="1"/>
  <c r="D6" i="2"/>
  <c r="E6" i="2"/>
  <c r="B6" i="2"/>
  <c r="C8" i="2" l="1"/>
  <c r="C7" i="2"/>
  <c r="C9" i="2" s="1"/>
  <c r="B7" i="2"/>
  <c r="B8" i="2"/>
  <c r="E7" i="2"/>
  <c r="E8" i="2"/>
  <c r="D7" i="2"/>
  <c r="D8" i="2"/>
  <c r="B9" i="2" l="1"/>
  <c r="D9" i="2"/>
  <c r="D23" i="2" s="1"/>
  <c r="B23" i="2"/>
  <c r="B24" i="2"/>
  <c r="B25" i="2"/>
  <c r="C23" i="2"/>
  <c r="C24" i="2"/>
  <c r="C25" i="2"/>
  <c r="E9" i="2"/>
  <c r="E13" i="2"/>
  <c r="E14" i="2"/>
  <c r="C14" i="2"/>
  <c r="C15" i="2"/>
  <c r="C13" i="2"/>
  <c r="B15" i="2"/>
  <c r="B14" i="2"/>
  <c r="B13" i="2"/>
  <c r="D14" i="2"/>
  <c r="D15" i="2"/>
  <c r="D13" i="2"/>
  <c r="D16" i="2" s="1"/>
  <c r="D18" i="2" s="1"/>
  <c r="D25" i="2" l="1"/>
  <c r="D24" i="2"/>
  <c r="D19" i="2"/>
  <c r="E15" i="2"/>
  <c r="E24" i="2"/>
  <c r="E25" i="2"/>
  <c r="E23" i="2"/>
  <c r="E18" i="2"/>
  <c r="D29" i="2"/>
  <c r="C16" i="2"/>
  <c r="C18" i="2" s="1"/>
  <c r="E16" i="2"/>
  <c r="B16" i="2"/>
  <c r="B18" i="2" s="1"/>
  <c r="D33" i="2" l="1"/>
  <c r="D40" i="2"/>
  <c r="D35" i="2"/>
  <c r="D37" i="2"/>
  <c r="D38" i="2" s="1"/>
  <c r="E29" i="2"/>
  <c r="E19" i="2"/>
  <c r="B33" i="2"/>
  <c r="B19" i="2"/>
  <c r="C29" i="2"/>
  <c r="C19" i="2"/>
  <c r="E33" i="2" l="1"/>
  <c r="E40" i="2"/>
  <c r="C33" i="2"/>
  <c r="C40" i="2"/>
  <c r="C35" i="2"/>
  <c r="C37" i="2" s="1"/>
  <c r="C38" i="2" s="1"/>
  <c r="B35" i="2"/>
  <c r="B37" i="2" s="1"/>
  <c r="E35" i="2"/>
  <c r="E37" i="2" s="1"/>
  <c r="E38" i="2" s="1"/>
  <c r="B38" i="2" l="1"/>
</calcChain>
</file>

<file path=xl/sharedStrings.xml><?xml version="1.0" encoding="utf-8"?>
<sst xmlns="http://schemas.openxmlformats.org/spreadsheetml/2006/main" count="148" uniqueCount="127">
  <si>
    <t>Build a 3 Statement Financial Model from Scratch</t>
  </si>
  <si>
    <t>Income Statement=Money made and expenses</t>
  </si>
  <si>
    <t>Income Statement &amp; Cash flow=&gt;Flow Statements (Represent Periods of Time)</t>
  </si>
  <si>
    <t>Step 1.</t>
  </si>
  <si>
    <t>Build Income Statement (depreciation &amp; bank interest blank)</t>
  </si>
  <si>
    <t>Step 2.</t>
  </si>
  <si>
    <t>Create CAPEX and depreciation schedule (assets)</t>
  </si>
  <si>
    <t>Step 3.</t>
  </si>
  <si>
    <t>Step 4.</t>
  </si>
  <si>
    <t>Build balance sheet on historic data</t>
  </si>
  <si>
    <t>Cash flow tied to balance sheet</t>
  </si>
  <si>
    <t>Balance Sheet=Represents specific period of time</t>
  </si>
  <si>
    <t>Cash Flow= changes in what you own and what you owe (example off a P&amp;L)</t>
  </si>
  <si>
    <t>Income  Statement</t>
  </si>
  <si>
    <t>1st Year</t>
  </si>
  <si>
    <t>2nd Year</t>
  </si>
  <si>
    <t>3rd Year</t>
  </si>
  <si>
    <t>4th Year</t>
  </si>
  <si>
    <t>MY ASSUMPTIONS</t>
  </si>
  <si>
    <t>New Customers</t>
  </si>
  <si>
    <t>AOV (Average Order Value)</t>
  </si>
  <si>
    <t>Refunds (as % rev)</t>
  </si>
  <si>
    <t>Discounts</t>
  </si>
  <si>
    <t>Revenue</t>
  </si>
  <si>
    <t>Fullfillment</t>
  </si>
  <si>
    <t>COGS (Cost of Goods Sold)</t>
  </si>
  <si>
    <t>Merchant Services</t>
  </si>
  <si>
    <t>Operating Expenses</t>
  </si>
  <si>
    <t>HR</t>
  </si>
  <si>
    <t>Marketing</t>
  </si>
  <si>
    <t>Depreciation (other model)</t>
  </si>
  <si>
    <t>Interest on Debt (other model)</t>
  </si>
  <si>
    <t>Tax Rate</t>
  </si>
  <si>
    <t>Mail Order Cookie Company</t>
  </si>
  <si>
    <t>Product (Materials cost)</t>
  </si>
  <si>
    <t>Misc</t>
  </si>
  <si>
    <t>Gross Revenue</t>
  </si>
  <si>
    <t>Refunds</t>
  </si>
  <si>
    <t>Net Revenue</t>
  </si>
  <si>
    <t>COGS (Cost of Good Sold)</t>
  </si>
  <si>
    <t>Product (Material cost)</t>
  </si>
  <si>
    <t>Fullfilment</t>
  </si>
  <si>
    <t>Total COGS</t>
  </si>
  <si>
    <t>Gross Margin</t>
  </si>
  <si>
    <t>GM%</t>
  </si>
  <si>
    <t>Hr</t>
  </si>
  <si>
    <t>Net Revenue -Total COGS</t>
  </si>
  <si>
    <t>Total OPEX (Operating Expenses)</t>
  </si>
  <si>
    <t>Operating Income</t>
  </si>
  <si>
    <t>Gross Margin - Total OPEX</t>
  </si>
  <si>
    <t>Interest (other model)</t>
  </si>
  <si>
    <t>NI (Net Income) Before Taxes</t>
  </si>
  <si>
    <t>Taxes</t>
  </si>
  <si>
    <t>NI%</t>
  </si>
  <si>
    <t>Net Income</t>
  </si>
  <si>
    <t>Operating income - NI before Taxes</t>
  </si>
  <si>
    <t>NI - Taxes</t>
  </si>
  <si>
    <t>EBITDA</t>
  </si>
  <si>
    <t>Earning Before Interest Tax Depreciation Amortization</t>
  </si>
  <si>
    <t>Operating income + Depreciation</t>
  </si>
  <si>
    <t>Useful Life (Years)</t>
  </si>
  <si>
    <t>Year 1</t>
  </si>
  <si>
    <t>Year 2</t>
  </si>
  <si>
    <t>Year 3</t>
  </si>
  <si>
    <t>Year4</t>
  </si>
  <si>
    <t>Laptops</t>
  </si>
  <si>
    <t>Custom Software Apps</t>
  </si>
  <si>
    <t>New Ovens</t>
  </si>
  <si>
    <t>Total CAPEX</t>
  </si>
  <si>
    <t>CAPEX &amp; Depreciation</t>
  </si>
  <si>
    <t>Depreciaiton</t>
  </si>
  <si>
    <t>Total D&amp;A (Depreciation &amp; Amortization</t>
  </si>
  <si>
    <t>CAPEX</t>
  </si>
  <si>
    <t>Balance Sheet</t>
  </si>
  <si>
    <t>Dec 31-Year 0</t>
  </si>
  <si>
    <t>Year 4</t>
  </si>
  <si>
    <t>Historicals</t>
  </si>
  <si>
    <t>ASSETS</t>
  </si>
  <si>
    <t>Cash</t>
  </si>
  <si>
    <t>Account Receivable (AR)</t>
  </si>
  <si>
    <t>Total Current Assets</t>
  </si>
  <si>
    <t>Fixed Assets</t>
  </si>
  <si>
    <t>Accumulated Depreciation</t>
  </si>
  <si>
    <t>Net Fixed Assets</t>
  </si>
  <si>
    <t>Total Assets</t>
  </si>
  <si>
    <t>LIABILITIES</t>
  </si>
  <si>
    <t>Accounts Payable (AP)</t>
  </si>
  <si>
    <t>Deferred Revenue</t>
  </si>
  <si>
    <t>Long Term Debt</t>
  </si>
  <si>
    <t>Total Liabilities</t>
  </si>
  <si>
    <t>EQUITY</t>
  </si>
  <si>
    <t>Common Stock</t>
  </si>
  <si>
    <t>Retained Earnings</t>
  </si>
  <si>
    <t>Total Shareholders Equity</t>
  </si>
  <si>
    <t>Liabilities &amp; Shareholders Equity</t>
  </si>
  <si>
    <t>Balance Check</t>
  </si>
  <si>
    <t>ASSUMPTIONS</t>
  </si>
  <si>
    <t>AR (% of revenue)</t>
  </si>
  <si>
    <t>AP (% of revenue)</t>
  </si>
  <si>
    <t>Accumulated of CAPEX</t>
  </si>
  <si>
    <t>Net Revenue x AR%</t>
  </si>
  <si>
    <t>Net Revenue x AP%</t>
  </si>
  <si>
    <t>Net Revenue x Deferred Revenue%</t>
  </si>
  <si>
    <t>Net Borrowing (New Debt Taken On)</t>
  </si>
  <si>
    <t>Debt Payments</t>
  </si>
  <si>
    <t>Interest Rate</t>
  </si>
  <si>
    <t>Interest Payments</t>
  </si>
  <si>
    <t>Long Term Debt x Interest Rate</t>
  </si>
  <si>
    <t>Balance of Debt</t>
  </si>
  <si>
    <t>Cash Flow Statement</t>
  </si>
  <si>
    <t>Operating Activities</t>
  </si>
  <si>
    <t>Depreciations</t>
  </si>
  <si>
    <t>Change in AR</t>
  </si>
  <si>
    <t>Change in AP</t>
  </si>
  <si>
    <t>Change in Def Rev</t>
  </si>
  <si>
    <t>Operating Cash Flow</t>
  </si>
  <si>
    <t>Investing Activities</t>
  </si>
  <si>
    <t>Financing Activities</t>
  </si>
  <si>
    <t>Net Income + Operating Activities</t>
  </si>
  <si>
    <t>Free Cash Flow</t>
  </si>
  <si>
    <t>Operating Cash Flow - CAPEX</t>
  </si>
  <si>
    <t>Debt Repayment</t>
  </si>
  <si>
    <t>Net Borrowing</t>
  </si>
  <si>
    <t>NFC From Financing</t>
  </si>
  <si>
    <t>Net Cash Flow</t>
  </si>
  <si>
    <t>this year - previous year</t>
  </si>
  <si>
    <t>previous year -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</si>
</sst>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RM&quot;* #,##0.00_);_(&quot;RM&quot;* \(#,##0.00\);_(&quot;RM&quot;* &quot;-&quot;??_);_(@_)"/>
    <numFmt numFmtId="43" formatCode="_(* #,##0.00_);_(* \(#,##0.00\);_(* &quot;-&quot;??_);_(@_)"/>
    <numFmt numFmtId="164" formatCode="_(* #,##0_);_(* \(#,##0\);_(* &quot;-&quot;??_);_(@_)"/>
    <numFmt numFmtId="165" formatCode="_-[$RM-4409]* #,##0.00_-;\-[$RM-4409]* #,##0.00_-;_-[$RM-4409]* &quot;-&quot;??_-;_-@_-"/>
    <numFmt numFmtId="167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A2D8E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2" borderId="0" xfId="0" applyFont="1" applyFill="1"/>
    <xf numFmtId="0" fontId="4" fillId="0" borderId="2" xfId="0" applyFont="1" applyBorder="1"/>
    <xf numFmtId="164" fontId="10" fillId="0" borderId="0" xfId="1" applyNumberFormat="1" applyFont="1"/>
    <xf numFmtId="9" fontId="5" fillId="0" borderId="0" xfId="0" applyNumberFormat="1" applyFont="1"/>
    <xf numFmtId="0" fontId="11" fillId="0" borderId="0" xfId="0" applyFont="1"/>
    <xf numFmtId="9" fontId="10" fillId="0" borderId="0" xfId="2" applyFont="1"/>
    <xf numFmtId="9" fontId="10" fillId="0" borderId="0" xfId="0" applyNumberFormat="1" applyFont="1"/>
    <xf numFmtId="0" fontId="10" fillId="0" borderId="0" xfId="0" applyFont="1"/>
    <xf numFmtId="0" fontId="9" fillId="0" borderId="0" xfId="0" applyFont="1"/>
    <xf numFmtId="0" fontId="3" fillId="0" borderId="1" xfId="3" applyAlignment="1">
      <alignment horizontal="center"/>
    </xf>
    <xf numFmtId="0" fontId="6" fillId="0" borderId="0" xfId="0" applyFont="1" applyAlignment="1">
      <alignment horizontal="left"/>
    </xf>
    <xf numFmtId="165" fontId="0" fillId="0" borderId="0" xfId="0" applyNumberFormat="1"/>
    <xf numFmtId="44" fontId="0" fillId="0" borderId="0" xfId="4" applyFont="1"/>
    <xf numFmtId="165" fontId="0" fillId="0" borderId="3" xfId="0" applyNumberFormat="1" applyBorder="1"/>
    <xf numFmtId="0" fontId="1" fillId="0" borderId="0" xfId="0" applyFont="1"/>
    <xf numFmtId="0" fontId="4" fillId="0" borderId="0" xfId="0" applyFont="1"/>
    <xf numFmtId="0" fontId="12" fillId="0" borderId="0" xfId="0" applyFont="1"/>
    <xf numFmtId="9" fontId="0" fillId="0" borderId="0" xfId="2" applyFont="1"/>
    <xf numFmtId="0" fontId="0" fillId="3" borderId="0" xfId="0" applyFill="1"/>
    <xf numFmtId="165" fontId="0" fillId="0" borderId="0" xfId="2" applyNumberFormat="1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44" fontId="0" fillId="0" borderId="0" xfId="0" applyNumberFormat="1"/>
    <xf numFmtId="44" fontId="4" fillId="0" borderId="3" xfId="0" applyNumberFormat="1" applyFont="1" applyBorder="1"/>
    <xf numFmtId="0" fontId="4" fillId="0" borderId="3" xfId="0" applyFont="1" applyBorder="1"/>
    <xf numFmtId="44" fontId="0" fillId="3" borderId="0" xfId="0" applyNumberFormat="1" applyFill="1"/>
    <xf numFmtId="0" fontId="8" fillId="0" borderId="0" xfId="4" applyNumberFormat="1" applyFont="1"/>
    <xf numFmtId="44" fontId="13" fillId="0" borderId="0" xfId="4" applyFont="1" applyAlignment="1">
      <alignment horizontal="center"/>
    </xf>
    <xf numFmtId="44" fontId="1" fillId="0" borderId="0" xfId="4" applyFont="1"/>
    <xf numFmtId="165" fontId="1" fillId="0" borderId="0" xfId="4" applyNumberFormat="1" applyFont="1"/>
    <xf numFmtId="165" fontId="1" fillId="4" borderId="4" xfId="4" applyNumberFormat="1" applyFont="1" applyFill="1" applyBorder="1"/>
    <xf numFmtId="165" fontId="9" fillId="0" borderId="3" xfId="4" applyNumberFormat="1" applyFont="1" applyBorder="1"/>
    <xf numFmtId="9" fontId="14" fillId="0" borderId="0" xfId="0" applyNumberFormat="1" applyFont="1"/>
    <xf numFmtId="165" fontId="9" fillId="0" borderId="4" xfId="4" applyNumberFormat="1" applyFont="1" applyFill="1" applyBorder="1"/>
    <xf numFmtId="167" fontId="14" fillId="0" borderId="0" xfId="4" applyNumberFormat="1" applyFont="1"/>
    <xf numFmtId="9" fontId="14" fillId="0" borderId="0" xfId="2" applyFont="1"/>
    <xf numFmtId="167" fontId="0" fillId="0" borderId="0" xfId="4" applyNumberFormat="1" applyFont="1"/>
    <xf numFmtId="165" fontId="9" fillId="0" borderId="4" xfId="4" applyNumberFormat="1" applyFont="1" applyBorder="1"/>
    <xf numFmtId="44" fontId="0" fillId="0" borderId="0" xfId="4" applyFont="1" applyBorder="1"/>
    <xf numFmtId="44" fontId="0" fillId="0" borderId="3" xfId="4" applyFont="1" applyBorder="1"/>
  </cellXfs>
  <cellStyles count="5">
    <cellStyle name="Comma" xfId="1" builtinId="3"/>
    <cellStyle name="Currency" xfId="4" builtinId="4"/>
    <cellStyle name="Heading 1" xfId="3" builtinId="16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0A2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54BD-1C9D-4E21-BF1A-249D18ECD336}">
  <dimension ref="A1:I12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36" customWidth="1"/>
  </cols>
  <sheetData>
    <row r="1" spans="1:9" ht="21" thickBo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6" thickTop="1" x14ac:dyDescent="0.2"/>
    <row r="3" spans="1:9" ht="19" x14ac:dyDescent="0.25">
      <c r="A3" s="14" t="s">
        <v>2</v>
      </c>
      <c r="B3" s="14"/>
      <c r="C3" s="14"/>
      <c r="D3" s="14"/>
      <c r="E3" s="14"/>
      <c r="F3" s="14"/>
      <c r="G3" s="14"/>
      <c r="H3" s="14"/>
    </row>
    <row r="4" spans="1:9" ht="19" x14ac:dyDescent="0.25">
      <c r="A4" s="14" t="s">
        <v>11</v>
      </c>
      <c r="B4" s="14"/>
      <c r="C4" s="14"/>
      <c r="D4" s="14"/>
      <c r="E4" s="14"/>
      <c r="F4" s="14"/>
      <c r="G4" s="14"/>
      <c r="H4" s="14"/>
    </row>
    <row r="5" spans="1:9" ht="19" x14ac:dyDescent="0.25">
      <c r="A5" s="14" t="s">
        <v>1</v>
      </c>
      <c r="B5" s="14"/>
      <c r="C5" s="14"/>
      <c r="D5" s="14"/>
      <c r="E5" s="14"/>
      <c r="F5" s="14"/>
      <c r="G5" s="14"/>
      <c r="H5" s="14"/>
    </row>
    <row r="6" spans="1:9" ht="19" x14ac:dyDescent="0.25">
      <c r="A6" s="14" t="s">
        <v>12</v>
      </c>
      <c r="B6" s="14"/>
      <c r="C6" s="14"/>
      <c r="D6" s="14"/>
      <c r="E6" s="14"/>
      <c r="F6" s="14"/>
      <c r="G6" s="14"/>
      <c r="H6" s="14"/>
    </row>
    <row r="9" spans="1:9" ht="19" x14ac:dyDescent="0.25">
      <c r="A9" s="2" t="s">
        <v>3</v>
      </c>
      <c r="B9" s="2" t="s">
        <v>4</v>
      </c>
      <c r="C9" s="2"/>
      <c r="D9" s="2"/>
      <c r="E9" s="2"/>
    </row>
    <row r="10" spans="1:9" ht="19" x14ac:dyDescent="0.25">
      <c r="A10" s="2" t="s">
        <v>5</v>
      </c>
      <c r="B10" s="2" t="s">
        <v>6</v>
      </c>
      <c r="C10" s="2"/>
      <c r="D10" s="2"/>
      <c r="E10" s="2"/>
    </row>
    <row r="11" spans="1:9" ht="19" x14ac:dyDescent="0.25">
      <c r="A11" s="2" t="s">
        <v>7</v>
      </c>
      <c r="B11" s="2" t="s">
        <v>9</v>
      </c>
      <c r="C11" s="2"/>
      <c r="D11" s="2"/>
      <c r="E11" s="2"/>
    </row>
    <row r="12" spans="1:9" ht="19" x14ac:dyDescent="0.25">
      <c r="A12" s="2" t="s">
        <v>8</v>
      </c>
      <c r="B12" s="2" t="s">
        <v>10</v>
      </c>
      <c r="C12" s="2"/>
      <c r="D12" s="2"/>
      <c r="E12" s="2"/>
    </row>
  </sheetData>
  <mergeCells count="5">
    <mergeCell ref="A1:I1"/>
    <mergeCell ref="A3:H3"/>
    <mergeCell ref="A4:H4"/>
    <mergeCell ref="A5:H5"/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9FF9-13DD-484F-82AA-B3A9000F36E4}">
  <dimension ref="A1:H64"/>
  <sheetViews>
    <sheetView zoomScaleNormal="100" workbookViewId="0">
      <selection activeCell="E28" sqref="E28"/>
    </sheetView>
  </sheetViews>
  <sheetFormatPr baseColWidth="10" defaultColWidth="8.83203125" defaultRowHeight="15" x14ac:dyDescent="0.2"/>
  <cols>
    <col min="1" max="1" width="38" customWidth="1"/>
    <col min="2" max="4" width="15.1640625" bestFit="1" customWidth="1"/>
    <col min="5" max="5" width="16.33203125" bestFit="1" customWidth="1"/>
    <col min="7" max="7" width="42.5" bestFit="1" customWidth="1"/>
    <col min="8" max="8" width="26.33203125" bestFit="1" customWidth="1"/>
  </cols>
  <sheetData>
    <row r="1" spans="1:5" ht="19" x14ac:dyDescent="0.25">
      <c r="A1" s="8" t="s">
        <v>33</v>
      </c>
    </row>
    <row r="2" spans="1:5" ht="1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</row>
    <row r="4" spans="1:5" ht="16" x14ac:dyDescent="0.2">
      <c r="A4" s="3" t="s">
        <v>23</v>
      </c>
    </row>
    <row r="5" spans="1:5" ht="16" x14ac:dyDescent="0.2">
      <c r="A5" s="1"/>
    </row>
    <row r="6" spans="1:5" ht="16" x14ac:dyDescent="0.2">
      <c r="A6" s="1" t="s">
        <v>36</v>
      </c>
      <c r="B6" s="15">
        <f>B46*B47</f>
        <v>1750000</v>
      </c>
      <c r="C6" s="15">
        <f t="shared" ref="C6:E6" si="0">C46*C47</f>
        <v>2750000</v>
      </c>
      <c r="D6" s="15">
        <f t="shared" si="0"/>
        <v>5500000</v>
      </c>
      <c r="E6" s="15">
        <f t="shared" si="0"/>
        <v>11250000</v>
      </c>
    </row>
    <row r="7" spans="1:5" ht="16" x14ac:dyDescent="0.2">
      <c r="A7" s="1" t="s">
        <v>37</v>
      </c>
      <c r="B7" s="16">
        <f>B6*B48</f>
        <v>87500</v>
      </c>
      <c r="C7" s="16">
        <f t="shared" ref="C7:E7" si="1">C6*C48</f>
        <v>137500</v>
      </c>
      <c r="D7" s="16">
        <f t="shared" si="1"/>
        <v>275000</v>
      </c>
      <c r="E7" s="16">
        <f t="shared" si="1"/>
        <v>562500</v>
      </c>
    </row>
    <row r="8" spans="1:5" ht="16" x14ac:dyDescent="0.2">
      <c r="A8" s="1" t="s">
        <v>22</v>
      </c>
      <c r="B8" s="16">
        <f>B6*B49</f>
        <v>140000</v>
      </c>
      <c r="C8" s="16">
        <f t="shared" ref="C8:E8" si="2">C6*C49</f>
        <v>220000</v>
      </c>
      <c r="D8" s="16">
        <f t="shared" si="2"/>
        <v>440000</v>
      </c>
      <c r="E8" s="16">
        <f t="shared" si="2"/>
        <v>900000</v>
      </c>
    </row>
    <row r="9" spans="1:5" ht="16" x14ac:dyDescent="0.2">
      <c r="A9" s="12" t="s">
        <v>38</v>
      </c>
      <c r="B9" s="17">
        <f>B6-B7-B8</f>
        <v>1522500</v>
      </c>
      <c r="C9" s="17">
        <f t="shared" ref="C9:E9" si="3">C6-C7-C8</f>
        <v>2392500</v>
      </c>
      <c r="D9" s="17">
        <f t="shared" si="3"/>
        <v>4785000</v>
      </c>
      <c r="E9" s="17">
        <f t="shared" si="3"/>
        <v>9787500</v>
      </c>
    </row>
    <row r="11" spans="1:5" ht="16" x14ac:dyDescent="0.2">
      <c r="A11" s="3" t="s">
        <v>39</v>
      </c>
    </row>
    <row r="13" spans="1:5" x14ac:dyDescent="0.2">
      <c r="A13" t="s">
        <v>40</v>
      </c>
      <c r="B13" s="15">
        <f>B9*B52</f>
        <v>456750</v>
      </c>
      <c r="C13" s="15">
        <f t="shared" ref="C13:E13" si="4">C9*C52</f>
        <v>717750</v>
      </c>
      <c r="D13" s="15">
        <f t="shared" si="4"/>
        <v>1435500</v>
      </c>
      <c r="E13" s="15">
        <f t="shared" si="4"/>
        <v>2936250</v>
      </c>
    </row>
    <row r="14" spans="1:5" x14ac:dyDescent="0.2">
      <c r="A14" t="s">
        <v>41</v>
      </c>
      <c r="B14" s="15">
        <f>B9*B53</f>
        <v>106575.00000000001</v>
      </c>
      <c r="C14" s="15">
        <f t="shared" ref="C14:E14" si="5">C9*C53</f>
        <v>167475.00000000003</v>
      </c>
      <c r="D14" s="15">
        <f t="shared" si="5"/>
        <v>334950.00000000006</v>
      </c>
      <c r="E14" s="15">
        <f t="shared" si="5"/>
        <v>685125.00000000012</v>
      </c>
    </row>
    <row r="15" spans="1:5" x14ac:dyDescent="0.2">
      <c r="A15" t="s">
        <v>26</v>
      </c>
      <c r="B15" s="15">
        <f>B9*B54</f>
        <v>152250</v>
      </c>
      <c r="C15" s="15">
        <f t="shared" ref="C15:E15" si="6">C9*C54</f>
        <v>239250</v>
      </c>
      <c r="D15" s="15">
        <f t="shared" si="6"/>
        <v>478500</v>
      </c>
      <c r="E15" s="15">
        <f t="shared" si="6"/>
        <v>978750</v>
      </c>
    </row>
    <row r="16" spans="1:5" x14ac:dyDescent="0.2">
      <c r="A16" s="19" t="s">
        <v>42</v>
      </c>
      <c r="B16" s="17">
        <f>SUM(B13:B15)</f>
        <v>715575</v>
      </c>
      <c r="C16" s="17">
        <f t="shared" ref="C16:E16" si="7">SUM(C13:C15)</f>
        <v>1124475</v>
      </c>
      <c r="D16" s="17">
        <f t="shared" si="7"/>
        <v>2248950</v>
      </c>
      <c r="E16" s="17">
        <f t="shared" si="7"/>
        <v>4600125</v>
      </c>
    </row>
    <row r="18" spans="1:7" x14ac:dyDescent="0.2">
      <c r="A18" s="19" t="s">
        <v>43</v>
      </c>
      <c r="B18" s="15">
        <f>B9-B16</f>
        <v>806925</v>
      </c>
      <c r="C18" s="15">
        <f t="shared" ref="C18:E18" si="8">C9-C16</f>
        <v>1268025</v>
      </c>
      <c r="D18" s="15">
        <f t="shared" si="8"/>
        <v>2536050</v>
      </c>
      <c r="E18" s="15">
        <f t="shared" si="8"/>
        <v>5187375</v>
      </c>
      <c r="G18" t="s">
        <v>46</v>
      </c>
    </row>
    <row r="19" spans="1:7" x14ac:dyDescent="0.2">
      <c r="A19" t="s">
        <v>44</v>
      </c>
      <c r="B19" s="21">
        <f>B18/B9</f>
        <v>0.53</v>
      </c>
      <c r="C19" s="21">
        <f t="shared" ref="C19:E19" si="9">C18/C9</f>
        <v>0.53</v>
      </c>
      <c r="D19" s="21">
        <f t="shared" si="9"/>
        <v>0.53</v>
      </c>
      <c r="E19" s="21">
        <f t="shared" si="9"/>
        <v>0.53</v>
      </c>
    </row>
    <row r="21" spans="1:7" x14ac:dyDescent="0.2">
      <c r="A21" s="20" t="s">
        <v>27</v>
      </c>
    </row>
    <row r="22" spans="1:7" x14ac:dyDescent="0.2">
      <c r="A22" s="19"/>
    </row>
    <row r="23" spans="1:7" x14ac:dyDescent="0.2">
      <c r="A23" t="s">
        <v>45</v>
      </c>
      <c r="B23" s="15">
        <f>B9*B57</f>
        <v>380625</v>
      </c>
      <c r="C23" s="15">
        <f t="shared" ref="C23:E23" si="10">C9*C57</f>
        <v>598125</v>
      </c>
      <c r="D23" s="15">
        <f t="shared" si="10"/>
        <v>1196250</v>
      </c>
      <c r="E23" s="15">
        <f t="shared" si="10"/>
        <v>2446875</v>
      </c>
    </row>
    <row r="24" spans="1:7" x14ac:dyDescent="0.2">
      <c r="A24" t="s">
        <v>29</v>
      </c>
      <c r="B24" s="15">
        <f>B9*B58</f>
        <v>152250</v>
      </c>
      <c r="C24" s="15">
        <f t="shared" ref="C24:E24" si="11">C9*C58</f>
        <v>239250</v>
      </c>
      <c r="D24" s="15">
        <f t="shared" si="11"/>
        <v>478500</v>
      </c>
      <c r="E24" s="15">
        <f t="shared" si="11"/>
        <v>978750</v>
      </c>
    </row>
    <row r="25" spans="1:7" x14ac:dyDescent="0.2">
      <c r="A25" t="s">
        <v>35</v>
      </c>
      <c r="B25" s="15">
        <f>B9*B59</f>
        <v>76125</v>
      </c>
      <c r="C25" s="15">
        <f t="shared" ref="C25:E25" si="12">C9*C59</f>
        <v>119625</v>
      </c>
      <c r="D25" s="15">
        <f t="shared" si="12"/>
        <v>239250</v>
      </c>
      <c r="E25" s="15">
        <f t="shared" si="12"/>
        <v>489375</v>
      </c>
    </row>
    <row r="26" spans="1:7" x14ac:dyDescent="0.2">
      <c r="A26" t="s">
        <v>30</v>
      </c>
      <c r="B26" s="29">
        <f>'Capex and Depreciation Schedule'!C13</f>
        <v>26666.666666666668</v>
      </c>
      <c r="C26" s="29">
        <f>'Capex and Depreciation Schedule'!D13</f>
        <v>60000</v>
      </c>
      <c r="D26" s="29">
        <f>'Capex and Depreciation Schedule'!E13</f>
        <v>99333.333333333343</v>
      </c>
      <c r="E26" s="29">
        <f>'Capex and Depreciation Schedule'!F13</f>
        <v>82666.666666666672</v>
      </c>
    </row>
    <row r="27" spans="1:7" x14ac:dyDescent="0.2">
      <c r="A27" s="19" t="s">
        <v>47</v>
      </c>
      <c r="B27" s="17">
        <f>SUM(B23:B26)</f>
        <v>635666.66666666663</v>
      </c>
      <c r="C27" s="17">
        <f>SUM(C23:C26)</f>
        <v>1017000</v>
      </c>
      <c r="D27" s="17">
        <f>SUM(D23:D26)</f>
        <v>2013333.3333333333</v>
      </c>
      <c r="E27" s="17">
        <f>SUM(E23:E26)</f>
        <v>3997666.6666666665</v>
      </c>
    </row>
    <row r="29" spans="1:7" x14ac:dyDescent="0.2">
      <c r="A29" s="19" t="s">
        <v>48</v>
      </c>
      <c r="B29" s="15">
        <f>B18-B27</f>
        <v>171258.33333333337</v>
      </c>
      <c r="C29" s="15">
        <f t="shared" ref="C29:E29" si="13">C18-C27</f>
        <v>251025</v>
      </c>
      <c r="D29" s="15">
        <f t="shared" si="13"/>
        <v>522716.66666666674</v>
      </c>
      <c r="E29" s="15">
        <f t="shared" si="13"/>
        <v>1189708.3333333335</v>
      </c>
      <c r="G29" t="s">
        <v>49</v>
      </c>
    </row>
    <row r="31" spans="1:7" x14ac:dyDescent="0.2">
      <c r="A31" s="19" t="s">
        <v>50</v>
      </c>
      <c r="B31" s="22">
        <f>'Balance Sheet'!C44</f>
        <v>175000.00000000003</v>
      </c>
      <c r="C31" s="22">
        <f>'Balance Sheet'!D44</f>
        <v>196000.00000000003</v>
      </c>
      <c r="D31" s="22">
        <f>'Balance Sheet'!E44</f>
        <v>147000</v>
      </c>
      <c r="E31" s="22">
        <f>'Balance Sheet'!F44</f>
        <v>98000.000000000015</v>
      </c>
    </row>
    <row r="33" spans="1:8" x14ac:dyDescent="0.2">
      <c r="A33" s="19" t="s">
        <v>51</v>
      </c>
      <c r="B33" s="15">
        <f>B29-B31</f>
        <v>-3741.666666666657</v>
      </c>
      <c r="C33" s="15">
        <f t="shared" ref="C33:D33" si="14">C29-C31</f>
        <v>55024.999999999971</v>
      </c>
      <c r="D33" s="15">
        <f t="shared" si="14"/>
        <v>375716.66666666674</v>
      </c>
      <c r="E33" s="15">
        <f>E29-E31</f>
        <v>1091708.3333333335</v>
      </c>
      <c r="G33" t="s">
        <v>55</v>
      </c>
    </row>
    <row r="35" spans="1:8" x14ac:dyDescent="0.2">
      <c r="A35" t="s">
        <v>52</v>
      </c>
      <c r="B35" s="16">
        <f>B33*B64</f>
        <v>-823.16666666666458</v>
      </c>
      <c r="C35" s="16">
        <f t="shared" ref="C35:E35" si="15">C33*C64</f>
        <v>12105.499999999995</v>
      </c>
      <c r="D35" s="16">
        <f t="shared" si="15"/>
        <v>82657.666666666686</v>
      </c>
      <c r="E35" s="16">
        <f t="shared" si="15"/>
        <v>240175.83333333337</v>
      </c>
    </row>
    <row r="37" spans="1:8" x14ac:dyDescent="0.2">
      <c r="A37" s="19" t="s">
        <v>54</v>
      </c>
      <c r="B37" s="15">
        <f>B33-B35</f>
        <v>-2918.4999999999923</v>
      </c>
      <c r="C37" s="15">
        <f t="shared" ref="C37:E37" si="16">C33-C35</f>
        <v>42919.499999999978</v>
      </c>
      <c r="D37" s="15">
        <f t="shared" si="16"/>
        <v>293059.00000000006</v>
      </c>
      <c r="E37" s="15">
        <f t="shared" si="16"/>
        <v>851532.50000000012</v>
      </c>
      <c r="G37" t="s">
        <v>56</v>
      </c>
    </row>
    <row r="38" spans="1:8" x14ac:dyDescent="0.2">
      <c r="A38" t="s">
        <v>53</v>
      </c>
      <c r="B38" s="21">
        <f>B37/B9</f>
        <v>-1.9169129720853807E-3</v>
      </c>
      <c r="C38" s="21">
        <f t="shared" ref="C38:D38" si="17">C37/C9</f>
        <v>1.7939184952978048E-2</v>
      </c>
      <c r="D38" s="21">
        <f t="shared" si="17"/>
        <v>6.1245350052246614E-2</v>
      </c>
      <c r="E38" s="21">
        <f>E37/E9</f>
        <v>8.7002043422733086E-2</v>
      </c>
    </row>
    <row r="39" spans="1:8" x14ac:dyDescent="0.2">
      <c r="B39" s="21"/>
      <c r="C39" s="21"/>
      <c r="D39" s="21"/>
      <c r="E39" s="21"/>
    </row>
    <row r="40" spans="1:8" x14ac:dyDescent="0.2">
      <c r="A40" s="19" t="s">
        <v>57</v>
      </c>
      <c r="B40" s="23">
        <f>B29+B26</f>
        <v>197925.00000000003</v>
      </c>
      <c r="C40" s="23">
        <f t="shared" ref="C40:E40" si="18">C29+C26</f>
        <v>311025</v>
      </c>
      <c r="D40" s="23">
        <f t="shared" si="18"/>
        <v>622050.00000000012</v>
      </c>
      <c r="E40" s="23">
        <f t="shared" si="18"/>
        <v>1272375.0000000002</v>
      </c>
      <c r="G40" t="s">
        <v>58</v>
      </c>
      <c r="H40" t="s">
        <v>59</v>
      </c>
    </row>
    <row r="41" spans="1:8" x14ac:dyDescent="0.2">
      <c r="B41" s="21"/>
      <c r="C41" s="21"/>
      <c r="D41" s="21"/>
      <c r="E41" s="21"/>
    </row>
    <row r="43" spans="1:8" s="4" customFormat="1" ht="16" x14ac:dyDescent="0.2">
      <c r="A43" s="4" t="s">
        <v>18</v>
      </c>
    </row>
    <row r="44" spans="1:8" ht="16" x14ac:dyDescent="0.2">
      <c r="B44" s="1"/>
      <c r="C44" s="1"/>
      <c r="D44" s="1"/>
      <c r="E44" s="1"/>
      <c r="F44" s="1"/>
      <c r="G44" s="1"/>
    </row>
    <row r="45" spans="1:8" ht="16" x14ac:dyDescent="0.2">
      <c r="A45" s="5" t="s">
        <v>23</v>
      </c>
      <c r="B45" s="1"/>
      <c r="C45" s="1"/>
      <c r="D45" s="1"/>
      <c r="E45" s="1"/>
      <c r="F45" s="1"/>
      <c r="G45" s="1"/>
    </row>
    <row r="46" spans="1:8" ht="16" x14ac:dyDescent="0.2">
      <c r="A46" t="s">
        <v>19</v>
      </c>
      <c r="B46" s="6">
        <v>70000</v>
      </c>
      <c r="C46" s="6">
        <v>110000</v>
      </c>
      <c r="D46" s="6">
        <v>220000</v>
      </c>
      <c r="E46" s="6">
        <v>450000</v>
      </c>
      <c r="F46" s="1"/>
      <c r="G46" s="1"/>
    </row>
    <row r="47" spans="1:8" ht="16" x14ac:dyDescent="0.2">
      <c r="A47" t="s">
        <v>20</v>
      </c>
      <c r="B47" s="6">
        <v>25</v>
      </c>
      <c r="C47" s="6">
        <v>25</v>
      </c>
      <c r="D47" s="6">
        <v>25</v>
      </c>
      <c r="E47" s="6">
        <v>25</v>
      </c>
      <c r="F47" s="1"/>
      <c r="G47" s="1"/>
    </row>
    <row r="48" spans="1:8" ht="16" x14ac:dyDescent="0.2">
      <c r="A48" t="s">
        <v>21</v>
      </c>
      <c r="B48" s="9">
        <v>0.05</v>
      </c>
      <c r="C48" s="9">
        <v>0.05</v>
      </c>
      <c r="D48" s="9">
        <v>0.05</v>
      </c>
      <c r="E48" s="9">
        <v>0.05</v>
      </c>
      <c r="F48" s="1"/>
      <c r="G48" s="1"/>
    </row>
    <row r="49" spans="1:7" ht="16" x14ac:dyDescent="0.2">
      <c r="A49" t="s">
        <v>22</v>
      </c>
      <c r="B49" s="9">
        <v>0.08</v>
      </c>
      <c r="C49" s="9">
        <v>0.08</v>
      </c>
      <c r="D49" s="9">
        <v>0.08</v>
      </c>
      <c r="E49" s="9">
        <v>0.08</v>
      </c>
      <c r="F49" s="1"/>
      <c r="G49" s="1"/>
    </row>
    <row r="50" spans="1:7" ht="16" x14ac:dyDescent="0.2">
      <c r="B50" s="1"/>
      <c r="C50" s="1"/>
      <c r="D50" s="1"/>
      <c r="E50" s="1"/>
      <c r="F50" s="1"/>
      <c r="G50" s="1"/>
    </row>
    <row r="51" spans="1:7" ht="16" x14ac:dyDescent="0.2">
      <c r="A51" s="5" t="s">
        <v>25</v>
      </c>
      <c r="B51" s="1"/>
      <c r="C51" s="1"/>
      <c r="D51" s="1"/>
      <c r="E51" s="1"/>
      <c r="F51" s="1"/>
      <c r="G51" s="1"/>
    </row>
    <row r="52" spans="1:7" ht="16" x14ac:dyDescent="0.2">
      <c r="A52" t="s">
        <v>34</v>
      </c>
      <c r="B52" s="10">
        <v>0.3</v>
      </c>
      <c r="C52" s="10">
        <v>0.3</v>
      </c>
      <c r="D52" s="10">
        <v>0.3</v>
      </c>
      <c r="E52" s="10">
        <v>0.3</v>
      </c>
      <c r="F52" s="7"/>
      <c r="G52" s="1"/>
    </row>
    <row r="53" spans="1:7" ht="16" x14ac:dyDescent="0.2">
      <c r="A53" t="s">
        <v>24</v>
      </c>
      <c r="B53" s="10">
        <v>7.0000000000000007E-2</v>
      </c>
      <c r="C53" s="10">
        <v>7.0000000000000007E-2</v>
      </c>
      <c r="D53" s="10">
        <v>7.0000000000000007E-2</v>
      </c>
      <c r="E53" s="10">
        <v>7.0000000000000007E-2</v>
      </c>
      <c r="F53" s="1"/>
      <c r="G53" s="1"/>
    </row>
    <row r="54" spans="1:7" ht="16" x14ac:dyDescent="0.2">
      <c r="A54" t="s">
        <v>26</v>
      </c>
      <c r="B54" s="10">
        <v>0.1</v>
      </c>
      <c r="C54" s="10">
        <v>0.1</v>
      </c>
      <c r="D54" s="10">
        <v>0.1</v>
      </c>
      <c r="E54" s="10">
        <v>0.1</v>
      </c>
      <c r="F54" s="1"/>
      <c r="G54" s="1"/>
    </row>
    <row r="55" spans="1:7" ht="16" x14ac:dyDescent="0.2">
      <c r="B55" s="1"/>
      <c r="C55" s="1"/>
      <c r="D55" s="1"/>
      <c r="E55" s="1"/>
      <c r="F55" s="1"/>
      <c r="G55" s="1"/>
    </row>
    <row r="56" spans="1:7" ht="16" x14ac:dyDescent="0.2">
      <c r="A56" s="5" t="s">
        <v>27</v>
      </c>
      <c r="B56" s="1"/>
      <c r="C56" s="1"/>
      <c r="D56" s="1"/>
      <c r="E56" s="1"/>
      <c r="F56" s="1"/>
      <c r="G56" s="1"/>
    </row>
    <row r="57" spans="1:7" ht="16" x14ac:dyDescent="0.2">
      <c r="A57" t="s">
        <v>28</v>
      </c>
      <c r="B57" s="10">
        <v>0.25</v>
      </c>
      <c r="C57" s="10">
        <v>0.25</v>
      </c>
      <c r="D57" s="10">
        <v>0.25</v>
      </c>
      <c r="E57" s="10">
        <v>0.25</v>
      </c>
      <c r="F57" s="1"/>
      <c r="G57" s="1"/>
    </row>
    <row r="58" spans="1:7" ht="16" x14ac:dyDescent="0.2">
      <c r="A58" t="s">
        <v>29</v>
      </c>
      <c r="B58" s="10">
        <v>0.1</v>
      </c>
      <c r="C58" s="10">
        <v>0.1</v>
      </c>
      <c r="D58" s="10">
        <v>0.1</v>
      </c>
      <c r="E58" s="10">
        <v>0.1</v>
      </c>
      <c r="F58" s="1"/>
      <c r="G58" s="1"/>
    </row>
    <row r="59" spans="1:7" ht="16" x14ac:dyDescent="0.2">
      <c r="A59" t="s">
        <v>35</v>
      </c>
      <c r="B59" s="10">
        <v>0.05</v>
      </c>
      <c r="C59" s="10">
        <v>0.05</v>
      </c>
      <c r="D59" s="10">
        <v>0.05</v>
      </c>
      <c r="E59" s="10">
        <v>0.05</v>
      </c>
      <c r="F59" s="1"/>
      <c r="G59" s="1"/>
    </row>
    <row r="60" spans="1:7" ht="16" x14ac:dyDescent="0.2">
      <c r="A60" t="s">
        <v>30</v>
      </c>
      <c r="B60" s="11"/>
      <c r="C60" s="11"/>
      <c r="D60" s="11"/>
      <c r="E60" s="11"/>
      <c r="F60" s="1"/>
      <c r="G60" s="1"/>
    </row>
    <row r="61" spans="1:7" ht="16" x14ac:dyDescent="0.2">
      <c r="B61" s="11"/>
      <c r="C61" s="11"/>
      <c r="D61" s="11"/>
      <c r="E61" s="11"/>
      <c r="F61" s="1"/>
      <c r="G61" s="1"/>
    </row>
    <row r="62" spans="1:7" ht="16" x14ac:dyDescent="0.2">
      <c r="A62" t="s">
        <v>31</v>
      </c>
      <c r="B62" s="11"/>
      <c r="C62" s="11"/>
      <c r="D62" s="11"/>
      <c r="E62" s="11"/>
      <c r="F62" s="1"/>
      <c r="G62" s="1"/>
    </row>
    <row r="63" spans="1:7" ht="16" x14ac:dyDescent="0.2">
      <c r="B63" s="11"/>
      <c r="C63" s="11"/>
      <c r="D63" s="11"/>
      <c r="E63" s="11"/>
      <c r="F63" s="1"/>
      <c r="G63" s="1"/>
    </row>
    <row r="64" spans="1:7" ht="16" x14ac:dyDescent="0.2">
      <c r="A64" t="s">
        <v>32</v>
      </c>
      <c r="B64" s="10">
        <v>0.22</v>
      </c>
      <c r="C64" s="10">
        <v>0.22</v>
      </c>
      <c r="D64" s="10">
        <v>0.22</v>
      </c>
      <c r="E64" s="10">
        <v>0.22</v>
      </c>
      <c r="F64" s="1"/>
      <c r="G64" s="1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0B07-0B11-F041-AA79-EF42BFD4AC98}">
  <dimension ref="A1:F13"/>
  <sheetViews>
    <sheetView workbookViewId="0">
      <selection activeCell="F22" sqref="F22"/>
    </sheetView>
  </sheetViews>
  <sheetFormatPr baseColWidth="10" defaultRowHeight="15" x14ac:dyDescent="0.2"/>
  <cols>
    <col min="1" max="1" width="32.1640625" bestFit="1" customWidth="1"/>
    <col min="2" max="2" width="14" bestFit="1" customWidth="1"/>
    <col min="3" max="5" width="13.6640625" bestFit="1" customWidth="1"/>
    <col min="6" max="6" width="12.6640625" bestFit="1" customWidth="1"/>
  </cols>
  <sheetData>
    <row r="1" spans="1:6" x14ac:dyDescent="0.2">
      <c r="A1" s="20" t="s">
        <v>69</v>
      </c>
      <c r="B1" s="20" t="s">
        <v>60</v>
      </c>
      <c r="C1" s="25" t="s">
        <v>61</v>
      </c>
      <c r="D1" s="25" t="s">
        <v>62</v>
      </c>
      <c r="E1" s="25" t="s">
        <v>63</v>
      </c>
      <c r="F1" s="25" t="s">
        <v>64</v>
      </c>
    </row>
    <row r="3" spans="1:6" x14ac:dyDescent="0.2">
      <c r="A3" s="20" t="s">
        <v>72</v>
      </c>
    </row>
    <row r="4" spans="1:6" x14ac:dyDescent="0.2">
      <c r="A4" t="s">
        <v>65</v>
      </c>
      <c r="B4">
        <v>5</v>
      </c>
      <c r="C4" s="16">
        <v>50000</v>
      </c>
      <c r="D4" s="16"/>
      <c r="E4" s="16"/>
    </row>
    <row r="5" spans="1:6" x14ac:dyDescent="0.2">
      <c r="A5" t="s">
        <v>66</v>
      </c>
      <c r="B5">
        <v>3</v>
      </c>
      <c r="C5" s="16">
        <v>50000</v>
      </c>
      <c r="D5" s="16">
        <v>100000</v>
      </c>
      <c r="E5" s="16">
        <v>100000</v>
      </c>
    </row>
    <row r="6" spans="1:6" x14ac:dyDescent="0.2">
      <c r="A6" t="s">
        <v>67</v>
      </c>
      <c r="B6">
        <v>5</v>
      </c>
      <c r="C6" s="16"/>
      <c r="D6" s="16"/>
      <c r="E6" s="16">
        <v>30000</v>
      </c>
    </row>
    <row r="7" spans="1:6" x14ac:dyDescent="0.2">
      <c r="A7" s="19" t="s">
        <v>68</v>
      </c>
      <c r="C7" s="27">
        <f>SUM(C4:C6)</f>
        <v>100000</v>
      </c>
      <c r="D7" s="27">
        <f>SUM(D4:D6)</f>
        <v>100000</v>
      </c>
      <c r="E7" s="27">
        <f>SUM(E4:E6)</f>
        <v>130000</v>
      </c>
      <c r="F7" s="28">
        <f>SUM(F4:F6)</f>
        <v>0</v>
      </c>
    </row>
    <row r="9" spans="1:6" x14ac:dyDescent="0.2">
      <c r="A9" s="20" t="s">
        <v>70</v>
      </c>
    </row>
    <row r="10" spans="1:6" x14ac:dyDescent="0.2">
      <c r="A10" t="s">
        <v>65</v>
      </c>
      <c r="C10" s="26">
        <f>$C$4/$B$4</f>
        <v>10000</v>
      </c>
      <c r="D10" s="26">
        <f t="shared" ref="D10:F10" si="0">$C$4/$B$4</f>
        <v>10000</v>
      </c>
      <c r="E10" s="26">
        <f t="shared" si="0"/>
        <v>10000</v>
      </c>
      <c r="F10" s="26">
        <f t="shared" si="0"/>
        <v>10000</v>
      </c>
    </row>
    <row r="11" spans="1:6" x14ac:dyDescent="0.2">
      <c r="A11" t="s">
        <v>66</v>
      </c>
      <c r="C11" s="26">
        <f>$C$5/$B$5</f>
        <v>16666.666666666668</v>
      </c>
      <c r="D11" s="26">
        <f>$C$5/$B$5 + $D$5/$B$5</f>
        <v>50000</v>
      </c>
      <c r="E11" s="26">
        <f>$C$5/$B$5 + $D$5/$B$5 + $E$5/$B$5</f>
        <v>83333.333333333343</v>
      </c>
      <c r="F11" s="26">
        <f>$D$5/$B$5 + $E$5/$B$5 + $F$5/$B$5</f>
        <v>66666.666666666672</v>
      </c>
    </row>
    <row r="12" spans="1:6" x14ac:dyDescent="0.2">
      <c r="A12" t="s">
        <v>67</v>
      </c>
      <c r="C12" s="24"/>
      <c r="E12" s="26">
        <f>$E$6/$B$6</f>
        <v>6000</v>
      </c>
      <c r="F12" s="26">
        <f>$E$6/$B$6</f>
        <v>6000</v>
      </c>
    </row>
    <row r="13" spans="1:6" x14ac:dyDescent="0.2">
      <c r="A13" s="19" t="s">
        <v>71</v>
      </c>
      <c r="C13" s="27">
        <f>SUM(C10:C12)</f>
        <v>26666.666666666668</v>
      </c>
      <c r="D13" s="27">
        <f t="shared" ref="D13:F13" si="1">SUM(D10:D12)</f>
        <v>60000</v>
      </c>
      <c r="E13" s="27">
        <f t="shared" si="1"/>
        <v>99333.333333333343</v>
      </c>
      <c r="F13" s="27">
        <f t="shared" si="1"/>
        <v>82666.666666666672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5F6F-2BA9-BE4A-83F6-76B744AF60D8}">
  <dimension ref="A1:H44"/>
  <sheetViews>
    <sheetView workbookViewId="0">
      <selection activeCell="K19" sqref="K19"/>
    </sheetView>
  </sheetViews>
  <sheetFormatPr baseColWidth="10" defaultRowHeight="15" x14ac:dyDescent="0.2"/>
  <cols>
    <col min="1" max="1" width="26.33203125" bestFit="1" customWidth="1"/>
    <col min="2" max="2" width="15.83203125" bestFit="1" customWidth="1"/>
    <col min="3" max="6" width="16.6640625" bestFit="1" customWidth="1"/>
    <col min="8" max="8" width="27" bestFit="1" customWidth="1"/>
  </cols>
  <sheetData>
    <row r="1" spans="1:8" ht="16" x14ac:dyDescent="0.2">
      <c r="A1" s="12" t="s">
        <v>73</v>
      </c>
      <c r="B1" s="30" t="s">
        <v>74</v>
      </c>
      <c r="C1" s="3" t="s">
        <v>61</v>
      </c>
      <c r="D1" s="3" t="s">
        <v>62</v>
      </c>
      <c r="E1" s="3" t="s">
        <v>63</v>
      </c>
      <c r="F1" s="3" t="s">
        <v>75</v>
      </c>
    </row>
    <row r="2" spans="1:8" ht="16" x14ac:dyDescent="0.2">
      <c r="A2" s="18"/>
      <c r="B2" s="31" t="s">
        <v>76</v>
      </c>
    </row>
    <row r="3" spans="1:8" ht="16" x14ac:dyDescent="0.2">
      <c r="A3" s="3" t="s">
        <v>77</v>
      </c>
      <c r="B3" s="32"/>
    </row>
    <row r="4" spans="1:8" ht="16" x14ac:dyDescent="0.2">
      <c r="A4" s="18"/>
      <c r="B4" s="32"/>
    </row>
    <row r="5" spans="1:8" ht="16" x14ac:dyDescent="0.2">
      <c r="A5" s="18" t="s">
        <v>78</v>
      </c>
      <c r="B5" s="33">
        <v>4250000</v>
      </c>
      <c r="C5" s="29">
        <f>'Cash Flow Statement'!B23</f>
        <v>504648.16666666669</v>
      </c>
      <c r="D5" s="29">
        <f>'Cash Flow Statement'!C23</f>
        <v>1761644.5</v>
      </c>
      <c r="E5" s="29">
        <f>'Cash Flow Statement'!D23</f>
        <v>1129867.3333333335</v>
      </c>
      <c r="F5" s="29">
        <f>'Cash Flow Statement'!E23</f>
        <v>2227974.166666667</v>
      </c>
    </row>
    <row r="6" spans="1:8" ht="16" x14ac:dyDescent="0.2">
      <c r="A6" s="18" t="s">
        <v>79</v>
      </c>
      <c r="B6" s="33">
        <v>120000</v>
      </c>
      <c r="C6" s="16">
        <f>'Income Statement'!B9*'Balance Sheet'!C37</f>
        <v>76125</v>
      </c>
      <c r="D6" s="16">
        <f>'Income Statement'!C9*D37</f>
        <v>119625</v>
      </c>
      <c r="E6" s="16">
        <f>'Income Statement'!D9*E37</f>
        <v>239250</v>
      </c>
      <c r="F6" s="16">
        <f>'Income Statement'!E9*F37</f>
        <v>489375</v>
      </c>
      <c r="H6" t="s">
        <v>100</v>
      </c>
    </row>
    <row r="7" spans="1:8" ht="16" x14ac:dyDescent="0.2">
      <c r="A7" s="12" t="s">
        <v>80</v>
      </c>
      <c r="B7" s="35">
        <f>SUM(B5:B6)</f>
        <v>4370000</v>
      </c>
      <c r="C7" s="35">
        <f t="shared" ref="C7:F7" si="0">SUM(C5:C6)</f>
        <v>580773.16666666674</v>
      </c>
      <c r="D7" s="35">
        <f t="shared" si="0"/>
        <v>1881269.5</v>
      </c>
      <c r="E7" s="35">
        <f t="shared" si="0"/>
        <v>1369117.3333333335</v>
      </c>
      <c r="F7" s="35">
        <f t="shared" si="0"/>
        <v>2717349.166666667</v>
      </c>
    </row>
    <row r="8" spans="1:8" ht="16" x14ac:dyDescent="0.2">
      <c r="A8" s="18"/>
      <c r="B8" s="33"/>
    </row>
    <row r="9" spans="1:8" ht="16" x14ac:dyDescent="0.2">
      <c r="A9" s="18" t="s">
        <v>81</v>
      </c>
      <c r="B9" s="33">
        <v>40000</v>
      </c>
      <c r="C9" s="26">
        <f>B9+'Capex and Depreciation Schedule'!C7</f>
        <v>140000</v>
      </c>
      <c r="D9" s="26">
        <f>C9+'Capex and Depreciation Schedule'!D7</f>
        <v>240000</v>
      </c>
      <c r="E9" s="26">
        <f>D9+'Capex and Depreciation Schedule'!E7</f>
        <v>370000</v>
      </c>
      <c r="F9" s="26">
        <f>E9+'Capex and Depreciation Schedule'!F7</f>
        <v>370000</v>
      </c>
      <c r="H9" t="s">
        <v>99</v>
      </c>
    </row>
    <row r="10" spans="1:8" ht="16" x14ac:dyDescent="0.2">
      <c r="A10" s="18" t="s">
        <v>82</v>
      </c>
      <c r="B10" s="33">
        <v>-10000</v>
      </c>
      <c r="C10" s="26">
        <f>B10-'Capex and Depreciation Schedule'!C13</f>
        <v>-36666.666666666672</v>
      </c>
      <c r="D10" s="26">
        <f>C10-'Capex and Depreciation Schedule'!D13</f>
        <v>-96666.666666666672</v>
      </c>
      <c r="E10" s="26">
        <f>D10-'Capex and Depreciation Schedule'!E13</f>
        <v>-196000</v>
      </c>
      <c r="F10" s="26">
        <f>E10-'Capex and Depreciation Schedule'!F13</f>
        <v>-278666.66666666669</v>
      </c>
    </row>
    <row r="11" spans="1:8" ht="16" x14ac:dyDescent="0.2">
      <c r="A11" s="12" t="s">
        <v>83</v>
      </c>
      <c r="B11" s="35">
        <f>SUM(B9:B10)</f>
        <v>30000</v>
      </c>
      <c r="C11" s="35">
        <f t="shared" ref="C11:F11" si="1">SUM(C9:C10)</f>
        <v>103333.33333333333</v>
      </c>
      <c r="D11" s="35">
        <f t="shared" si="1"/>
        <v>143333.33333333331</v>
      </c>
      <c r="E11" s="35">
        <f t="shared" si="1"/>
        <v>174000</v>
      </c>
      <c r="F11" s="35">
        <f t="shared" si="1"/>
        <v>91333.333333333314</v>
      </c>
    </row>
    <row r="12" spans="1:8" ht="16" x14ac:dyDescent="0.2">
      <c r="A12" s="18"/>
      <c r="B12" s="33"/>
    </row>
    <row r="13" spans="1:8" ht="17" thickBot="1" x14ac:dyDescent="0.25">
      <c r="A13" s="12" t="s">
        <v>84</v>
      </c>
      <c r="B13" s="37">
        <f>SUM(B7,B11)</f>
        <v>4400000</v>
      </c>
      <c r="C13" s="37">
        <f t="shared" ref="C13:F13" si="2">SUM(C7,C11)</f>
        <v>684106.50000000012</v>
      </c>
      <c r="D13" s="37">
        <f t="shared" si="2"/>
        <v>2024602.8333333333</v>
      </c>
      <c r="E13" s="37">
        <f t="shared" si="2"/>
        <v>1543117.3333333335</v>
      </c>
      <c r="F13" s="37">
        <f t="shared" si="2"/>
        <v>2808682.5000000005</v>
      </c>
    </row>
    <row r="14" spans="1:8" ht="17" thickTop="1" x14ac:dyDescent="0.2">
      <c r="A14" s="18"/>
      <c r="B14" s="33"/>
    </row>
    <row r="15" spans="1:8" ht="16" x14ac:dyDescent="0.2">
      <c r="A15" s="3" t="s">
        <v>85</v>
      </c>
      <c r="B15" s="33"/>
    </row>
    <row r="16" spans="1:8" ht="16" x14ac:dyDescent="0.2">
      <c r="A16" s="18"/>
      <c r="B16" s="33"/>
    </row>
    <row r="17" spans="1:8" ht="16" x14ac:dyDescent="0.2">
      <c r="A17" s="18" t="s">
        <v>86</v>
      </c>
      <c r="B17" s="33">
        <v>75000</v>
      </c>
      <c r="C17" s="16">
        <f>'Income Statement'!B9*'Balance Sheet'!C38</f>
        <v>91350</v>
      </c>
      <c r="D17" s="16">
        <f>'Income Statement'!C9*'Balance Sheet'!D38</f>
        <v>143550</v>
      </c>
      <c r="E17" s="16">
        <f>'Income Statement'!D9*'Balance Sheet'!E38</f>
        <v>287100</v>
      </c>
      <c r="F17" s="16">
        <f>'Income Statement'!E9*'Balance Sheet'!F38</f>
        <v>587250</v>
      </c>
      <c r="H17" t="s">
        <v>101</v>
      </c>
    </row>
    <row r="18" spans="1:8" ht="16" x14ac:dyDescent="0.2">
      <c r="A18" s="18" t="s">
        <v>87</v>
      </c>
      <c r="B18" s="33">
        <v>25000</v>
      </c>
      <c r="C18" s="16">
        <f>'Income Statement'!B9*'Balance Sheet'!C39</f>
        <v>45675</v>
      </c>
      <c r="D18" s="16">
        <f>'Income Statement'!C9*'Balance Sheet'!D39</f>
        <v>95700</v>
      </c>
      <c r="E18" s="16">
        <f>'Income Statement'!D9*'Balance Sheet'!E39</f>
        <v>239250</v>
      </c>
      <c r="F18" s="16">
        <f>'Income Statement'!E9*'Balance Sheet'!F39</f>
        <v>783000</v>
      </c>
      <c r="H18" t="s">
        <v>102</v>
      </c>
    </row>
    <row r="19" spans="1:8" ht="16" x14ac:dyDescent="0.2">
      <c r="A19" s="12" t="s">
        <v>80</v>
      </c>
      <c r="B19" s="35">
        <f>SUM(B17:B18)</f>
        <v>100000</v>
      </c>
      <c r="C19" s="35">
        <f t="shared" ref="C19:F19" si="3">SUM(C17:C18)</f>
        <v>137025</v>
      </c>
      <c r="D19" s="35">
        <f t="shared" si="3"/>
        <v>239250</v>
      </c>
      <c r="E19" s="35">
        <f t="shared" si="3"/>
        <v>526350</v>
      </c>
      <c r="F19" s="35">
        <f t="shared" si="3"/>
        <v>1370250</v>
      </c>
    </row>
    <row r="20" spans="1:8" ht="16" x14ac:dyDescent="0.2">
      <c r="A20" s="18"/>
      <c r="B20" s="33"/>
    </row>
    <row r="21" spans="1:8" ht="16" x14ac:dyDescent="0.2">
      <c r="A21" s="18" t="s">
        <v>88</v>
      </c>
      <c r="B21" s="33">
        <v>3000000</v>
      </c>
      <c r="C21" s="15">
        <f>B21-C42</f>
        <v>2500000</v>
      </c>
      <c r="D21" s="15">
        <f>C21+D41-D42</f>
        <v>2800000</v>
      </c>
      <c r="E21" s="15">
        <f>D21-E42</f>
        <v>2100000</v>
      </c>
      <c r="F21" s="15">
        <f>E21-F42</f>
        <v>1400000</v>
      </c>
      <c r="H21" t="s">
        <v>108</v>
      </c>
    </row>
    <row r="22" spans="1:8" ht="16" x14ac:dyDescent="0.2">
      <c r="A22" s="18"/>
      <c r="B22" s="33"/>
    </row>
    <row r="23" spans="1:8" ht="17" thickBot="1" x14ac:dyDescent="0.25">
      <c r="A23" s="12" t="s">
        <v>89</v>
      </c>
      <c r="B23" s="41">
        <f>SUM(B19,B21)</f>
        <v>3100000</v>
      </c>
      <c r="C23" s="41">
        <f t="shared" ref="C23:F23" si="4">SUM(C19,C21)</f>
        <v>2637025</v>
      </c>
      <c r="D23" s="41">
        <f t="shared" si="4"/>
        <v>3039250</v>
      </c>
      <c r="E23" s="41">
        <f t="shared" si="4"/>
        <v>2626350</v>
      </c>
      <c r="F23" s="41">
        <f t="shared" si="4"/>
        <v>2770250</v>
      </c>
    </row>
    <row r="24" spans="1:8" ht="17" thickTop="1" x14ac:dyDescent="0.2">
      <c r="B24" s="33"/>
    </row>
    <row r="25" spans="1:8" ht="16" x14ac:dyDescent="0.2">
      <c r="A25" s="20" t="s">
        <v>90</v>
      </c>
      <c r="B25" s="33"/>
    </row>
    <row r="26" spans="1:8" ht="16" x14ac:dyDescent="0.2">
      <c r="B26" s="33"/>
    </row>
    <row r="27" spans="1:8" ht="16" x14ac:dyDescent="0.2">
      <c r="A27" t="s">
        <v>91</v>
      </c>
      <c r="B27" s="33">
        <v>50000</v>
      </c>
      <c r="C27" s="33">
        <v>50000</v>
      </c>
      <c r="D27" s="33">
        <v>50000</v>
      </c>
      <c r="E27" s="33">
        <v>50000</v>
      </c>
      <c r="F27" s="33">
        <v>50000</v>
      </c>
    </row>
    <row r="28" spans="1:8" ht="16" x14ac:dyDescent="0.2">
      <c r="A28" t="s">
        <v>92</v>
      </c>
      <c r="B28" s="33">
        <v>1250000</v>
      </c>
      <c r="C28" s="15">
        <f>B28+'Income Statement'!B37</f>
        <v>1247081.5</v>
      </c>
      <c r="D28" s="15">
        <f>C28+'Income Statement'!C37</f>
        <v>1290001</v>
      </c>
      <c r="E28" s="15">
        <f>D28+'Income Statement'!D37</f>
        <v>1583060</v>
      </c>
      <c r="F28" s="15">
        <f>E28+'Income Statement'!E37</f>
        <v>2434592.5</v>
      </c>
    </row>
    <row r="29" spans="1:8" ht="16" x14ac:dyDescent="0.2">
      <c r="A29" s="19" t="s">
        <v>93</v>
      </c>
      <c r="B29" s="35">
        <f>SUM(B27:B28)</f>
        <v>1300000</v>
      </c>
      <c r="C29" s="35">
        <f t="shared" ref="C29:F29" si="5">SUM(C27:C28)</f>
        <v>1297081.5</v>
      </c>
      <c r="D29" s="35">
        <f t="shared" si="5"/>
        <v>1340001</v>
      </c>
      <c r="E29" s="35">
        <f t="shared" si="5"/>
        <v>1633060</v>
      </c>
      <c r="F29" s="35">
        <f t="shared" si="5"/>
        <v>2484592.5</v>
      </c>
    </row>
    <row r="30" spans="1:8" ht="16" x14ac:dyDescent="0.2">
      <c r="B30" s="33"/>
    </row>
    <row r="31" spans="1:8" ht="17" thickBot="1" x14ac:dyDescent="0.25">
      <c r="A31" s="19" t="s">
        <v>94</v>
      </c>
      <c r="B31" s="34">
        <f>B23+B29</f>
        <v>4400000</v>
      </c>
      <c r="C31" s="34">
        <f t="shared" ref="C31:F31" si="6">C23+C29</f>
        <v>3934106.5</v>
      </c>
      <c r="D31" s="34">
        <f t="shared" si="6"/>
        <v>4379251</v>
      </c>
      <c r="E31" s="34">
        <f t="shared" si="6"/>
        <v>4259410</v>
      </c>
      <c r="F31" s="34">
        <f t="shared" si="6"/>
        <v>5254842.5</v>
      </c>
    </row>
    <row r="32" spans="1:8" ht="17" thickTop="1" x14ac:dyDescent="0.2">
      <c r="B32" s="32"/>
    </row>
    <row r="33" spans="1:8" ht="16" x14ac:dyDescent="0.2">
      <c r="A33" t="s">
        <v>95</v>
      </c>
      <c r="B33" s="32">
        <f>B13-B31</f>
        <v>0</v>
      </c>
      <c r="C33" s="32">
        <f t="shared" ref="C33:F33" si="7">C13-C31</f>
        <v>-3250000</v>
      </c>
      <c r="D33" s="32">
        <f t="shared" si="7"/>
        <v>-2354648.166666667</v>
      </c>
      <c r="E33" s="32">
        <f t="shared" si="7"/>
        <v>-2716292.6666666665</v>
      </c>
      <c r="F33" s="32">
        <f t="shared" si="7"/>
        <v>-2446159.9999999995</v>
      </c>
    </row>
    <row r="34" spans="1:8" ht="16" x14ac:dyDescent="0.2">
      <c r="B34" s="32"/>
    </row>
    <row r="35" spans="1:8" ht="16" x14ac:dyDescent="0.2">
      <c r="A35" s="4" t="s">
        <v>96</v>
      </c>
      <c r="B35" s="4"/>
      <c r="C35" s="4"/>
      <c r="D35" s="4"/>
      <c r="E35" s="4"/>
      <c r="F35" s="4"/>
    </row>
    <row r="36" spans="1:8" ht="16" x14ac:dyDescent="0.2">
      <c r="B36" s="32"/>
    </row>
    <row r="37" spans="1:8" ht="16" x14ac:dyDescent="0.2">
      <c r="A37" t="s">
        <v>97</v>
      </c>
      <c r="B37" s="32"/>
      <c r="C37" s="36">
        <v>0.05</v>
      </c>
      <c r="D37" s="36">
        <v>0.05</v>
      </c>
      <c r="E37" s="36">
        <v>0.05</v>
      </c>
      <c r="F37" s="36">
        <v>0.05</v>
      </c>
    </row>
    <row r="38" spans="1:8" ht="16" x14ac:dyDescent="0.2">
      <c r="A38" t="s">
        <v>98</v>
      </c>
      <c r="B38" s="32"/>
      <c r="C38" s="36">
        <v>0.06</v>
      </c>
      <c r="D38" s="36">
        <v>0.06</v>
      </c>
      <c r="E38" s="36">
        <v>0.06</v>
      </c>
      <c r="F38" s="36">
        <v>0.06</v>
      </c>
    </row>
    <row r="39" spans="1:8" ht="16" x14ac:dyDescent="0.2">
      <c r="A39" t="s">
        <v>87</v>
      </c>
      <c r="B39" s="32"/>
      <c r="C39" s="36">
        <v>0.03</v>
      </c>
      <c r="D39" s="36">
        <v>0.04</v>
      </c>
      <c r="E39" s="36">
        <v>0.05</v>
      </c>
      <c r="F39" s="36">
        <v>0.08</v>
      </c>
    </row>
    <row r="41" spans="1:8" x14ac:dyDescent="0.2">
      <c r="A41" t="s">
        <v>103</v>
      </c>
      <c r="B41" s="36"/>
      <c r="C41" s="38"/>
      <c r="D41" s="38">
        <v>1000000</v>
      </c>
      <c r="E41" s="38"/>
      <c r="F41" s="38"/>
    </row>
    <row r="42" spans="1:8" x14ac:dyDescent="0.2">
      <c r="A42" t="s">
        <v>104</v>
      </c>
      <c r="B42" s="36"/>
      <c r="C42" s="38">
        <v>500000</v>
      </c>
      <c r="D42" s="38">
        <v>700000</v>
      </c>
      <c r="E42" s="38">
        <v>700000</v>
      </c>
      <c r="F42" s="38">
        <v>700000</v>
      </c>
    </row>
    <row r="43" spans="1:8" x14ac:dyDescent="0.2">
      <c r="A43" t="s">
        <v>105</v>
      </c>
      <c r="B43" s="36"/>
      <c r="C43" s="39">
        <v>7.0000000000000007E-2</v>
      </c>
      <c r="D43" s="39">
        <v>7.0000000000000007E-2</v>
      </c>
      <c r="E43" s="39">
        <v>7.0000000000000007E-2</v>
      </c>
      <c r="F43" s="39">
        <v>7.0000000000000007E-2</v>
      </c>
    </row>
    <row r="44" spans="1:8" x14ac:dyDescent="0.2">
      <c r="A44" t="s">
        <v>106</v>
      </c>
      <c r="B44" s="36"/>
      <c r="C44" s="40">
        <f>C21*C43</f>
        <v>175000.00000000003</v>
      </c>
      <c r="D44" s="40">
        <f>D21*D43</f>
        <v>196000.00000000003</v>
      </c>
      <c r="E44" s="40">
        <f t="shared" ref="E44:F44" si="8">E21*E43</f>
        <v>147000</v>
      </c>
      <c r="F44" s="40">
        <f t="shared" si="8"/>
        <v>98000.000000000015</v>
      </c>
      <c r="H44" t="s">
        <v>107</v>
      </c>
    </row>
  </sheetData>
  <pageMargins left="0.7" right="0.7" top="0.75" bottom="0.75" header="0.3" footer="0.3"/>
  <ignoredErrors>
    <ignoredError sqref="D2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FCE7-6402-0A43-ACA1-7653C3AE67E7}">
  <dimension ref="A1:G23"/>
  <sheetViews>
    <sheetView tabSelected="1" topLeftCell="A2" workbookViewId="0">
      <selection activeCell="B10" sqref="B10:E10"/>
    </sheetView>
  </sheetViews>
  <sheetFormatPr baseColWidth="10" defaultRowHeight="15" x14ac:dyDescent="0.2"/>
  <cols>
    <col min="1" max="1" width="17.33203125" bestFit="1" customWidth="1"/>
    <col min="2" max="2" width="14.1640625" bestFit="1" customWidth="1"/>
    <col min="3" max="3" width="15.6640625" bestFit="1" customWidth="1"/>
    <col min="4" max="5" width="15.1640625" bestFit="1" customWidth="1"/>
    <col min="7" max="7" width="26.6640625" bestFit="1" customWidth="1"/>
  </cols>
  <sheetData>
    <row r="1" spans="1:7" ht="16" x14ac:dyDescent="0.2">
      <c r="A1" s="19" t="s">
        <v>109</v>
      </c>
      <c r="B1" s="3" t="s">
        <v>14</v>
      </c>
      <c r="C1" s="3" t="s">
        <v>15</v>
      </c>
      <c r="D1" s="3" t="s">
        <v>16</v>
      </c>
      <c r="E1" s="3" t="s">
        <v>17</v>
      </c>
    </row>
    <row r="3" spans="1:7" x14ac:dyDescent="0.2">
      <c r="A3" s="19" t="s">
        <v>54</v>
      </c>
      <c r="B3" s="42">
        <f>'Income Statement'!B37</f>
        <v>-2918.4999999999923</v>
      </c>
      <c r="C3" s="42">
        <f>'Income Statement'!C37</f>
        <v>42919.499999999978</v>
      </c>
      <c r="D3" s="42">
        <f>'Income Statement'!D37</f>
        <v>293059.00000000006</v>
      </c>
      <c r="E3" s="42">
        <f>'Income Statement'!E37</f>
        <v>851532.50000000012</v>
      </c>
    </row>
    <row r="5" spans="1:7" x14ac:dyDescent="0.2">
      <c r="A5" s="20" t="s">
        <v>110</v>
      </c>
    </row>
    <row r="6" spans="1:7" x14ac:dyDescent="0.2">
      <c r="A6" s="19" t="s">
        <v>111</v>
      </c>
      <c r="B6" s="16">
        <f>'Income Statement'!B26</f>
        <v>26666.666666666668</v>
      </c>
      <c r="C6" s="16">
        <f>'Income Statement'!C26</f>
        <v>60000</v>
      </c>
      <c r="D6" s="16">
        <f>'Income Statement'!D26</f>
        <v>99333.333333333343</v>
      </c>
      <c r="E6" s="16">
        <f>'Income Statement'!E26</f>
        <v>82666.666666666672</v>
      </c>
    </row>
    <row r="7" spans="1:7" x14ac:dyDescent="0.2">
      <c r="A7" s="19" t="s">
        <v>112</v>
      </c>
      <c r="B7" s="42">
        <f>'Balance Sheet'!B6-'Balance Sheet'!C6</f>
        <v>43875</v>
      </c>
      <c r="C7" s="42">
        <f>'Balance Sheet'!C6-'Balance Sheet'!D6</f>
        <v>-43500</v>
      </c>
      <c r="D7" s="42">
        <f>'Balance Sheet'!D6-'Balance Sheet'!E6</f>
        <v>-119625</v>
      </c>
      <c r="E7" s="42">
        <f>'Balance Sheet'!E6-'Balance Sheet'!F6</f>
        <v>-250125</v>
      </c>
      <c r="G7" t="s">
        <v>126</v>
      </c>
    </row>
    <row r="8" spans="1:7" x14ac:dyDescent="0.2">
      <c r="A8" s="19" t="s">
        <v>113</v>
      </c>
      <c r="B8" s="16">
        <f>'Balance Sheet'!C17-'Balance Sheet'!B17</f>
        <v>16350</v>
      </c>
      <c r="C8" s="16">
        <f>'Balance Sheet'!D17-'Balance Sheet'!C17</f>
        <v>52200</v>
      </c>
      <c r="D8" s="16">
        <f>'Balance Sheet'!E17-'Balance Sheet'!D17</f>
        <v>143550</v>
      </c>
      <c r="E8" s="16">
        <f>'Balance Sheet'!F17-'Balance Sheet'!E17</f>
        <v>300150</v>
      </c>
      <c r="G8" t="s">
        <v>125</v>
      </c>
    </row>
    <row r="9" spans="1:7" x14ac:dyDescent="0.2">
      <c r="A9" s="19" t="s">
        <v>114</v>
      </c>
      <c r="B9" s="16">
        <f>'Balance Sheet'!C18-'Balance Sheet'!B18</f>
        <v>20675</v>
      </c>
      <c r="C9" s="16">
        <f>'Balance Sheet'!D18-'Balance Sheet'!C18</f>
        <v>50025</v>
      </c>
      <c r="D9" s="16">
        <f>'Balance Sheet'!E18-'Balance Sheet'!D18</f>
        <v>143550</v>
      </c>
      <c r="E9" s="16">
        <f>'Balance Sheet'!F18-'Balance Sheet'!E18</f>
        <v>543750</v>
      </c>
    </row>
    <row r="10" spans="1:7" x14ac:dyDescent="0.2">
      <c r="A10" s="19" t="s">
        <v>115</v>
      </c>
      <c r="B10" s="43">
        <f>B3+SUM(B6:B9)</f>
        <v>104648.16666666669</v>
      </c>
      <c r="C10" s="43">
        <f t="shared" ref="C10:E10" si="0">C3+SUM(C6:C9)</f>
        <v>161644.49999999997</v>
      </c>
      <c r="D10" s="43">
        <f t="shared" si="0"/>
        <v>559867.33333333349</v>
      </c>
      <c r="E10" s="43">
        <f t="shared" si="0"/>
        <v>1527974.166666667</v>
      </c>
      <c r="G10" t="s">
        <v>118</v>
      </c>
    </row>
    <row r="11" spans="1:7" x14ac:dyDescent="0.2">
      <c r="A11" s="19"/>
    </row>
    <row r="12" spans="1:7" x14ac:dyDescent="0.2">
      <c r="A12" s="20" t="s">
        <v>116</v>
      </c>
    </row>
    <row r="13" spans="1:7" x14ac:dyDescent="0.2">
      <c r="A13" s="19"/>
    </row>
    <row r="14" spans="1:7" x14ac:dyDescent="0.2">
      <c r="A14" s="19" t="s">
        <v>72</v>
      </c>
      <c r="B14" s="26">
        <f>'Capex and Depreciation Schedule'!C7</f>
        <v>100000</v>
      </c>
      <c r="C14" s="26">
        <f>'Capex and Depreciation Schedule'!D7</f>
        <v>100000</v>
      </c>
      <c r="D14" s="26">
        <f>'Capex and Depreciation Schedule'!E7</f>
        <v>130000</v>
      </c>
      <c r="E14" s="26">
        <f>'Capex and Depreciation Schedule'!F7</f>
        <v>0</v>
      </c>
    </row>
    <row r="15" spans="1:7" x14ac:dyDescent="0.2">
      <c r="A15" s="19"/>
    </row>
    <row r="16" spans="1:7" x14ac:dyDescent="0.2">
      <c r="A16" s="19" t="s">
        <v>119</v>
      </c>
      <c r="B16" s="26">
        <f>B10-B14</f>
        <v>4648.1666666666861</v>
      </c>
      <c r="C16" s="26">
        <f t="shared" ref="C16:E16" si="1">C10-C14</f>
        <v>61644.499999999971</v>
      </c>
      <c r="D16" s="26">
        <f t="shared" si="1"/>
        <v>429867.33333333349</v>
      </c>
      <c r="E16" s="26">
        <f t="shared" si="1"/>
        <v>1527974.166666667</v>
      </c>
      <c r="G16" t="s">
        <v>120</v>
      </c>
    </row>
    <row r="17" spans="1:5" x14ac:dyDescent="0.2">
      <c r="A17" s="19"/>
    </row>
    <row r="18" spans="1:5" x14ac:dyDescent="0.2">
      <c r="A18" s="20" t="s">
        <v>117</v>
      </c>
    </row>
    <row r="19" spans="1:5" x14ac:dyDescent="0.2">
      <c r="A19" s="19" t="s">
        <v>121</v>
      </c>
      <c r="B19" s="16">
        <f>'Balance Sheet'!C42</f>
        <v>500000</v>
      </c>
      <c r="C19" s="16">
        <f>'Balance Sheet'!D42</f>
        <v>700000</v>
      </c>
      <c r="D19" s="16">
        <f>'Balance Sheet'!E42</f>
        <v>700000</v>
      </c>
      <c r="E19" s="16">
        <f>'Balance Sheet'!F42</f>
        <v>700000</v>
      </c>
    </row>
    <row r="20" spans="1:5" x14ac:dyDescent="0.2">
      <c r="A20" s="19" t="s">
        <v>122</v>
      </c>
      <c r="B20" s="16">
        <f>'Balance Sheet'!C41</f>
        <v>0</v>
      </c>
      <c r="C20" s="16">
        <f>'Balance Sheet'!D41</f>
        <v>1000000</v>
      </c>
      <c r="D20" s="16">
        <f>'Balance Sheet'!E41</f>
        <v>0</v>
      </c>
      <c r="E20" s="16">
        <f>'Balance Sheet'!F41</f>
        <v>0</v>
      </c>
    </row>
    <row r="21" spans="1:5" x14ac:dyDescent="0.2">
      <c r="A21" s="19" t="s">
        <v>123</v>
      </c>
      <c r="B21" s="43">
        <f>SUM(B19:B20)</f>
        <v>500000</v>
      </c>
      <c r="C21" s="43">
        <f t="shared" ref="C21:E21" si="2">SUM(C19:C20)</f>
        <v>1700000</v>
      </c>
      <c r="D21" s="43">
        <f t="shared" si="2"/>
        <v>700000</v>
      </c>
      <c r="E21" s="43">
        <f t="shared" si="2"/>
        <v>700000</v>
      </c>
    </row>
    <row r="23" spans="1:5" x14ac:dyDescent="0.2">
      <c r="A23" s="19" t="s">
        <v>124</v>
      </c>
      <c r="B23" s="26">
        <f>B16+B21</f>
        <v>504648.16666666669</v>
      </c>
      <c r="C23" s="26">
        <f t="shared" ref="C23:E23" si="3">C16+C21</f>
        <v>1761644.5</v>
      </c>
      <c r="D23" s="26">
        <f t="shared" si="3"/>
        <v>1129867.3333333335</v>
      </c>
      <c r="E23" s="26">
        <f t="shared" si="3"/>
        <v>2227974.166666667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Income Statement</vt:lpstr>
      <vt:lpstr>Capex and Depreciation Schedule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Smith</dc:creator>
  <cp:lastModifiedBy>TUAN NOR UZMA BINTI TUAN YAZID</cp:lastModifiedBy>
  <dcterms:created xsi:type="dcterms:W3CDTF">2023-11-17T16:53:32Z</dcterms:created>
  <dcterms:modified xsi:type="dcterms:W3CDTF">2026-01-17T16:58:15Z</dcterms:modified>
</cp:coreProperties>
</file>